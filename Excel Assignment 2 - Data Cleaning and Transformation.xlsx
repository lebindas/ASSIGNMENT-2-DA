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BIN\Desktop\ENTRI CLASS\"/>
    </mc:Choice>
  </mc:AlternateContent>
  <xr:revisionPtr revIDLastSave="0" documentId="13_ncr:1_{407405D2-35A7-45EF-85B5-B372F52D2F9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nstructions" sheetId="1" r:id="rId1"/>
    <sheet name="Dataset" sheetId="2" r:id="rId2"/>
    <sheet name="Assignment" sheetId="3" r:id="rId3"/>
  </sheets>
  <definedNames>
    <definedName name="_xlnm._FilterDatabase" localSheetId="2" hidden="1">Assignment!$A$1:$Z$32</definedName>
  </definedNames>
  <calcPr calcId="191029"/>
  <extLs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H3" i="3" l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2" i="3"/>
  <c r="I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L3" i="3"/>
  <c r="M3" i="3" s="1"/>
  <c r="L4" i="3"/>
  <c r="M4" i="3" s="1"/>
  <c r="L5" i="3"/>
  <c r="M5" i="3" s="1"/>
  <c r="L6" i="3"/>
  <c r="M6" i="3" s="1"/>
  <c r="L7" i="3"/>
  <c r="M7" i="3" s="1"/>
  <c r="L8" i="3"/>
  <c r="M8" i="3" s="1"/>
  <c r="L9" i="3"/>
  <c r="M9" i="3" s="1"/>
  <c r="L10" i="3"/>
  <c r="M10" i="3" s="1"/>
  <c r="L11" i="3"/>
  <c r="M11" i="3" s="1"/>
  <c r="L12" i="3"/>
  <c r="M12" i="3" s="1"/>
  <c r="L13" i="3"/>
  <c r="M13" i="3" s="1"/>
  <c r="L14" i="3"/>
  <c r="M14" i="3" s="1"/>
  <c r="L15" i="3"/>
  <c r="M15" i="3" s="1"/>
  <c r="L16" i="3"/>
  <c r="M16" i="3" s="1"/>
  <c r="L17" i="3"/>
  <c r="M17" i="3" s="1"/>
  <c r="L18" i="3"/>
  <c r="M18" i="3" s="1"/>
  <c r="L19" i="3"/>
  <c r="M19" i="3" s="1"/>
  <c r="L20" i="3"/>
  <c r="M20" i="3" s="1"/>
  <c r="L21" i="3"/>
  <c r="M21" i="3" s="1"/>
  <c r="L22" i="3"/>
  <c r="M22" i="3" s="1"/>
  <c r="L23" i="3"/>
  <c r="M23" i="3" s="1"/>
  <c r="L24" i="3"/>
  <c r="M24" i="3" s="1"/>
  <c r="L25" i="3"/>
  <c r="M25" i="3" s="1"/>
  <c r="L26" i="3"/>
  <c r="M26" i="3" s="1"/>
  <c r="L27" i="3"/>
  <c r="M27" i="3" s="1"/>
  <c r="L28" i="3"/>
  <c r="M28" i="3" s="1"/>
  <c r="L29" i="3"/>
  <c r="M29" i="3" s="1"/>
  <c r="L30" i="3"/>
  <c r="M30" i="3" s="1"/>
  <c r="L31" i="3"/>
  <c r="M31" i="3" s="1"/>
  <c r="L32" i="3"/>
  <c r="M32" i="3" s="1"/>
  <c r="L2" i="3"/>
  <c r="M2" i="3" s="1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2" i="3"/>
  <c r="K2" i="3"/>
  <c r="K3" i="3"/>
  <c r="K4" i="3"/>
  <c r="K5" i="3"/>
  <c r="K6" i="3"/>
  <c r="K7" i="3"/>
  <c r="K9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O8" i="3"/>
  <c r="O7" i="3"/>
  <c r="K8" i="3"/>
  <c r="K10" i="3"/>
  <c r="O3" i="3"/>
  <c r="O4" i="3"/>
  <c r="O5" i="3"/>
  <c r="O6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2" i="3"/>
</calcChain>
</file>

<file path=xl/sharedStrings.xml><?xml version="1.0" encoding="utf-8"?>
<sst xmlns="http://schemas.openxmlformats.org/spreadsheetml/2006/main" count="291" uniqueCount="151">
  <si>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</si>
  <si>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</si>
  <si>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</si>
  <si>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</si>
  <si>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</si>
  <si>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</si>
  <si>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</si>
  <si>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</si>
  <si>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</si>
  <si>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</si>
  <si>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</si>
  <si>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</si>
  <si>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</si>
  <si>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</si>
  <si>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</si>
  <si>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</si>
  <si>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</si>
  <si>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</si>
  <si>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</si>
  <si>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</si>
  <si>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</si>
  <si>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</si>
  <si>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</si>
  <si>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</si>
  <si>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</si>
  <si>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</si>
  <si>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</si>
  <si>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</si>
  <si>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</si>
  <si>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</si>
  <si>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</si>
  <si>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</si>
  <si>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</si>
  <si>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</si>
  <si>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</si>
  <si>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</si>
  <si>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</si>
  <si>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</si>
  <si>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</si>
  <si>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</si>
  <si>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</si>
  <si>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</si>
  <si>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</si>
  <si>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</si>
  <si>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</si>
  <si>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</si>
  <si>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</si>
  <si>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</si>
  <si>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</si>
  <si>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</si>
  <si>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</si>
  <si>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</si>
  <si>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</si>
  <si>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</si>
  <si>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</si>
  <si>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</si>
  <si>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</si>
  <si>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</si>
  <si>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</si>
  <si>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</si>
  <si>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</si>
  <si>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</si>
  <si>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</si>
  <si>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</si>
  <si>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</si>
  <si>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</si>
  <si>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</si>
  <si>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</si>
  <si>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</si>
  <si>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</si>
  <si>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</si>
  <si>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</si>
  <si>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</si>
  <si>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</si>
  <si>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</si>
  <si>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</si>
  <si>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</si>
  <si>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</si>
  <si>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</si>
  <si>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</si>
  <si>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</si>
  <si>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</si>
  <si>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</si>
  <si>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</si>
  <si>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</si>
  <si>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</si>
  <si>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</si>
  <si>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</si>
  <si>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</si>
  <si>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</si>
  <si>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</si>
  <si>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</si>
  <si>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</si>
  <si>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</si>
  <si>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</si>
  <si>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</si>
  <si>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</si>
  <si>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</si>
  <si>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</si>
  <si>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</si>
  <si>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</si>
  <si>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</si>
  <si>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</si>
  <si>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</si>
  <si>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</si>
  <si>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</si>
  <si>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</si>
  <si>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</si>
  <si>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</si>
  <si>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</si>
  <si>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</si>
  <si>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</si>
  <si>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</si>
  <si>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</si>
  <si>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</si>
  <si>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</si>
  <si>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28-JAN-2000-US</t>
  </si>
  <si>
    <t>15-FEB-2000-US</t>
  </si>
  <si>
    <t>03-MAR-2000-US</t>
  </si>
  <si>
    <t>11-APR-2000-US</t>
  </si>
  <si>
    <t>22-MAY-2000-US</t>
  </si>
  <si>
    <t>07-JUN-2000-UK</t>
  </si>
  <si>
    <t>19-JUL-2000-UK</t>
  </si>
  <si>
    <t>23-AUG-2000-UK</t>
  </si>
  <si>
    <t>05-SEP-2000-UK</t>
  </si>
  <si>
    <t>14-OCT-2000-UK</t>
  </si>
  <si>
    <t>17-JUN-2000-IN</t>
  </si>
  <si>
    <t>25-NOV-2000-AU</t>
  </si>
  <si>
    <t>08-DEC-2000-DE</t>
  </si>
  <si>
    <t>18-FEB-2000-CA</t>
  </si>
  <si>
    <t>16-APR-2000-ES</t>
  </si>
  <si>
    <t>21-AUG-2000-CA</t>
  </si>
  <si>
    <t>20-AUG-2000-CN</t>
  </si>
  <si>
    <t>27-JAN-2000-IT</t>
  </si>
  <si>
    <t>01-MAR-2000-UK</t>
  </si>
  <si>
    <t>14-AUG-2000-US</t>
  </si>
  <si>
    <t>14-MAY-2000-RU</t>
  </si>
  <si>
    <t>09-JAN-2000-CA</t>
  </si>
  <si>
    <t>19-JUL-2000-BR</t>
  </si>
  <si>
    <t>29-SEP-2000-CA</t>
  </si>
  <si>
    <t>03-JUN-2000-CA</t>
  </si>
  <si>
    <t>11-JUL-2000-CA</t>
  </si>
  <si>
    <t>07-MAR-2000-CA</t>
  </si>
  <si>
    <t>13-APR-2000-CA</t>
  </si>
  <si>
    <t>24-MAY-2000-CA</t>
  </si>
  <si>
    <t>02-DEC-2000-CA</t>
  </si>
  <si>
    <t>09-JUL-2000-FR</t>
  </si>
  <si>
    <t>Manufacturing Date</t>
  </si>
  <si>
    <t>Country Code</t>
  </si>
  <si>
    <t>Product Brand</t>
  </si>
  <si>
    <t>DD-MM-YYYY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</si>
</sst>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9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b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0" fontId="7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7" fillId="4" borderId="2" xfId="0" applyNumberFormat="1" applyFont="1" applyFill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/>
    </xf>
    <xf numFmtId="164" fontId="5" fillId="5" borderId="2" xfId="0" applyNumberFormat="1" applyFont="1" applyFill="1" applyBorder="1" applyAlignment="1">
      <alignment horizontal="center" vertical="center"/>
    </xf>
    <xf numFmtId="164" fontId="0" fillId="0" borderId="0" xfId="0" applyNumberFormat="1"/>
    <xf numFmtId="14" fontId="7" fillId="4" borderId="1" xfId="0" applyNumberFormat="1" applyFont="1" applyFill="1" applyBorder="1" applyAlignment="1">
      <alignment horizontal="right" vertical="center"/>
    </xf>
    <xf numFmtId="14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0" fontId="7" fillId="4" borderId="1" xfId="0" applyFont="1" applyFill="1" applyBorder="1" applyAlignment="1">
      <alignment horizontal="center"/>
    </xf>
    <xf numFmtId="14" fontId="0" fillId="6" borderId="1" xfId="0" applyNumberFormat="1" applyFill="1" applyBorder="1"/>
    <xf numFmtId="14" fontId="0" fillId="6" borderId="1" xfId="0" applyNumberFormat="1" applyFill="1" applyBorder="1" applyAlignment="1">
      <alignment horizontal="right"/>
    </xf>
    <xf numFmtId="0" fontId="0" fillId="6" borderId="1" xfId="0" applyFill="1" applyBorder="1" applyAlignment="1">
      <alignment horizontal="center"/>
    </xf>
    <xf numFmtId="0" fontId="5" fillId="6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</cellXfs>
  <cellStyles count="1">
    <cellStyle name="Normal" xfId="0" builtinId="0"/>
  </cellStyles>
  <dxfs count="5"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workbookViewId="0">
      <selection activeCell="C16" sqref="C16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11" ht="15.75" customHeight="1" x14ac:dyDescent="0.25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">
      <c r="C4" s="3" t="s">
        <v>2</v>
      </c>
    </row>
    <row r="5" spans="1:11" ht="15.75" customHeight="1" x14ac:dyDescent="0.3">
      <c r="B5" s="4"/>
      <c r="C5" s="3" t="s">
        <v>3</v>
      </c>
    </row>
    <row r="6" spans="1:11" ht="15.75" customHeight="1" x14ac:dyDescent="0.3">
      <c r="B6" s="4"/>
    </row>
    <row r="7" spans="1:11" ht="15.75" customHeight="1" x14ac:dyDescent="0.3">
      <c r="B7" s="2" t="s">
        <v>4</v>
      </c>
    </row>
    <row r="8" spans="1:11" ht="15.75" customHeight="1" x14ac:dyDescent="0.3">
      <c r="C8" s="3" t="s">
        <v>5</v>
      </c>
    </row>
    <row r="9" spans="1:11" ht="15.75" customHeight="1" x14ac:dyDescent="0.3">
      <c r="C9" s="3" t="s">
        <v>6</v>
      </c>
    </row>
    <row r="10" spans="1:11" ht="15.75" customHeight="1" x14ac:dyDescent="0.3">
      <c r="C10" s="3" t="s">
        <v>7</v>
      </c>
    </row>
    <row r="11" spans="1:11" ht="15.75" customHeight="1" x14ac:dyDescent="0.3">
      <c r="B11" s="4"/>
    </row>
    <row r="12" spans="1:11" ht="15.75" customHeight="1" x14ac:dyDescent="0.3">
      <c r="B12" s="2" t="s">
        <v>8</v>
      </c>
    </row>
    <row r="13" spans="1:11" ht="15.75" customHeight="1" x14ac:dyDescent="0.3">
      <c r="B13" s="2"/>
      <c r="C13" s="3" t="s">
        <v>9</v>
      </c>
    </row>
    <row r="14" spans="1:11" ht="15.75" customHeight="1" x14ac:dyDescent="0.25"/>
    <row r="15" spans="1:11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workbookViewId="0">
      <selection activeCell="I15" sqref="I15"/>
    </sheetView>
  </sheetViews>
  <sheetFormatPr defaultColWidth="12.6640625" defaultRowHeight="15" customHeight="1" x14ac:dyDescent="0.25"/>
  <cols>
    <col min="1" max="6" width="12.6640625" customWidth="1"/>
  </cols>
  <sheetData>
    <row r="1" spans="1:16" ht="15.75" customHeight="1" x14ac:dyDescent="0.25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</row>
    <row r="2" spans="1:16" ht="15.75" customHeight="1" x14ac:dyDescent="0.25">
      <c r="A2" s="5" t="s">
        <v>25</v>
      </c>
      <c r="B2" s="5" t="s">
        <v>26</v>
      </c>
      <c r="C2" s="5" t="s">
        <v>27</v>
      </c>
      <c r="D2" s="5">
        <v>1000</v>
      </c>
      <c r="E2" s="5">
        <v>30</v>
      </c>
      <c r="F2" s="5" t="s">
        <v>28</v>
      </c>
    </row>
    <row r="3" spans="1:16" ht="15.75" customHeight="1" x14ac:dyDescent="0.3">
      <c r="A3" s="8" t="s">
        <v>29</v>
      </c>
      <c r="B3" s="8" t="s">
        <v>30</v>
      </c>
      <c r="C3" s="8" t="s">
        <v>31</v>
      </c>
      <c r="D3" s="8">
        <v>80</v>
      </c>
      <c r="E3" s="8">
        <v>15</v>
      </c>
      <c r="F3" s="8" t="s">
        <v>32</v>
      </c>
      <c r="I3" s="2"/>
      <c r="J3" s="5"/>
      <c r="K3" s="5"/>
      <c r="L3" s="5"/>
      <c r="M3" s="5"/>
      <c r="N3" s="5"/>
      <c r="O3" s="5"/>
      <c r="P3" s="5"/>
    </row>
    <row r="4" spans="1:16" ht="15.75" customHeight="1" x14ac:dyDescent="0.3">
      <c r="A4" s="5" t="s">
        <v>33</v>
      </c>
      <c r="B4" s="5" t="s">
        <v>34</v>
      </c>
      <c r="C4" s="5" t="s">
        <v>35</v>
      </c>
      <c r="D4" s="5">
        <v>130</v>
      </c>
      <c r="E4" s="5">
        <v>40</v>
      </c>
      <c r="F4" s="5" t="s">
        <v>36</v>
      </c>
      <c r="I4" s="5"/>
      <c r="J4" s="3"/>
      <c r="K4" s="5"/>
      <c r="L4" s="5"/>
      <c r="M4" s="5"/>
      <c r="N4" s="5"/>
      <c r="O4" s="5"/>
      <c r="P4" s="5"/>
    </row>
    <row r="5" spans="1:16" ht="15.75" customHeight="1" x14ac:dyDescent="0.3">
      <c r="A5" s="8" t="s">
        <v>37</v>
      </c>
      <c r="B5" s="8" t="s">
        <v>38</v>
      </c>
      <c r="C5" s="8" t="s">
        <v>39</v>
      </c>
      <c r="D5" s="8">
        <v>900</v>
      </c>
      <c r="E5" s="8">
        <v>25</v>
      </c>
      <c r="F5" s="8" t="s">
        <v>28</v>
      </c>
      <c r="I5" s="5"/>
      <c r="J5" s="3"/>
      <c r="K5" s="5"/>
      <c r="L5" s="5"/>
      <c r="M5" s="5"/>
      <c r="N5" s="5"/>
      <c r="O5" s="5"/>
      <c r="P5" s="5"/>
    </row>
    <row r="6" spans="1:16" ht="15.75" customHeight="1" x14ac:dyDescent="0.25">
      <c r="A6" s="5" t="s">
        <v>40</v>
      </c>
      <c r="B6" s="5" t="s">
        <v>41</v>
      </c>
      <c r="C6" s="5" t="s">
        <v>42</v>
      </c>
      <c r="D6" s="5">
        <v>70</v>
      </c>
      <c r="E6" s="5">
        <v>20</v>
      </c>
      <c r="F6" s="5"/>
    </row>
    <row r="7" spans="1:16" ht="15.75" customHeight="1" x14ac:dyDescent="0.25">
      <c r="A7" s="8" t="s">
        <v>43</v>
      </c>
      <c r="B7" s="8" t="s">
        <v>44</v>
      </c>
      <c r="C7" s="8" t="s">
        <v>45</v>
      </c>
      <c r="D7" s="8"/>
      <c r="E7" s="8">
        <v>45</v>
      </c>
      <c r="F7" s="8" t="s">
        <v>46</v>
      </c>
    </row>
    <row r="8" spans="1:16" ht="15.75" customHeight="1" x14ac:dyDescent="0.25">
      <c r="A8" s="5" t="s">
        <v>47</v>
      </c>
      <c r="B8" s="5" t="s">
        <v>48</v>
      </c>
      <c r="C8" s="5" t="s">
        <v>49</v>
      </c>
      <c r="D8" s="5">
        <v>30</v>
      </c>
      <c r="E8" s="5">
        <v>5</v>
      </c>
      <c r="F8" s="5" t="s">
        <v>32</v>
      </c>
    </row>
    <row r="9" spans="1:16" ht="15.75" customHeight="1" x14ac:dyDescent="0.25">
      <c r="A9" s="8" t="s">
        <v>50</v>
      </c>
      <c r="B9" s="8" t="s">
        <v>51</v>
      </c>
      <c r="C9" s="8" t="s">
        <v>52</v>
      </c>
      <c r="D9" s="8">
        <v>90</v>
      </c>
      <c r="E9" s="8">
        <v>35</v>
      </c>
      <c r="F9" s="8" t="s">
        <v>36</v>
      </c>
    </row>
    <row r="10" spans="1:16" ht="15.75" customHeight="1" x14ac:dyDescent="0.25">
      <c r="A10" s="5" t="s">
        <v>53</v>
      </c>
      <c r="B10" s="5" t="s">
        <v>54</v>
      </c>
      <c r="C10" s="5" t="s">
        <v>55</v>
      </c>
      <c r="D10" s="5">
        <v>500</v>
      </c>
      <c r="E10" s="5">
        <v>50</v>
      </c>
      <c r="F10" s="5" t="s">
        <v>28</v>
      </c>
    </row>
    <row r="11" spans="1:16" ht="15.75" customHeight="1" x14ac:dyDescent="0.25">
      <c r="A11" s="8" t="s">
        <v>56</v>
      </c>
      <c r="B11" s="8" t="s">
        <v>57</v>
      </c>
      <c r="C11" s="8" t="s">
        <v>58</v>
      </c>
      <c r="D11" s="8">
        <v>130</v>
      </c>
      <c r="E11" s="8">
        <v>10</v>
      </c>
      <c r="F11" s="8" t="s">
        <v>59</v>
      </c>
    </row>
    <row r="12" spans="1:16" ht="15.75" customHeight="1" x14ac:dyDescent="0.25">
      <c r="A12" s="5" t="s">
        <v>60</v>
      </c>
      <c r="B12" s="5" t="s">
        <v>61</v>
      </c>
      <c r="C12" s="5" t="s">
        <v>62</v>
      </c>
      <c r="D12" s="5">
        <v>950</v>
      </c>
      <c r="E12" s="5">
        <v>25</v>
      </c>
      <c r="F12" s="5" t="s">
        <v>28</v>
      </c>
    </row>
    <row r="13" spans="1:16" ht="15.75" customHeight="1" x14ac:dyDescent="0.25">
      <c r="A13" s="8" t="s">
        <v>63</v>
      </c>
      <c r="B13" s="8" t="s">
        <v>30</v>
      </c>
      <c r="C13" s="8" t="s">
        <v>49</v>
      </c>
      <c r="D13" s="8">
        <v>90</v>
      </c>
      <c r="E13" s="8">
        <v>40</v>
      </c>
      <c r="F13" s="8"/>
    </row>
    <row r="14" spans="1:16" ht="15.75" customHeight="1" x14ac:dyDescent="0.25">
      <c r="A14" s="5" t="s">
        <v>64</v>
      </c>
      <c r="B14" s="5" t="s">
        <v>34</v>
      </c>
      <c r="C14" s="5" t="s">
        <v>65</v>
      </c>
      <c r="D14" s="5">
        <v>120</v>
      </c>
      <c r="E14" s="5">
        <v>35</v>
      </c>
      <c r="F14" s="5"/>
    </row>
    <row r="15" spans="1:16" ht="15.75" customHeight="1" x14ac:dyDescent="0.25">
      <c r="A15" s="8" t="s">
        <v>66</v>
      </c>
      <c r="B15" s="8" t="s">
        <v>67</v>
      </c>
      <c r="C15" s="8" t="s">
        <v>68</v>
      </c>
      <c r="D15" s="8">
        <v>150</v>
      </c>
      <c r="E15" s="8">
        <v>15</v>
      </c>
      <c r="F15" s="8" t="s">
        <v>46</v>
      </c>
    </row>
    <row r="16" spans="1:16" ht="15.75" customHeight="1" x14ac:dyDescent="0.25">
      <c r="A16" s="5" t="s">
        <v>69</v>
      </c>
      <c r="B16" s="5" t="s">
        <v>70</v>
      </c>
      <c r="C16" s="5" t="s">
        <v>71</v>
      </c>
      <c r="D16" s="5">
        <v>250</v>
      </c>
      <c r="E16" s="5">
        <v>20</v>
      </c>
      <c r="F16" s="5" t="s">
        <v>46</v>
      </c>
    </row>
    <row r="17" spans="1:6" ht="15.75" customHeight="1" x14ac:dyDescent="0.25">
      <c r="A17" s="8" t="s">
        <v>72</v>
      </c>
      <c r="B17" s="8" t="s">
        <v>73</v>
      </c>
      <c r="C17" s="8" t="s">
        <v>74</v>
      </c>
      <c r="D17" s="8">
        <v>50</v>
      </c>
      <c r="E17" s="8">
        <v>35</v>
      </c>
      <c r="F17" s="8" t="s">
        <v>75</v>
      </c>
    </row>
    <row r="18" spans="1:6" ht="15.75" customHeight="1" x14ac:dyDescent="0.25">
      <c r="A18" s="5" t="s">
        <v>76</v>
      </c>
      <c r="B18" s="5" t="s">
        <v>67</v>
      </c>
      <c r="C18" s="5" t="s">
        <v>77</v>
      </c>
      <c r="D18" s="5">
        <v>160</v>
      </c>
      <c r="E18" s="5">
        <v>15</v>
      </c>
      <c r="F18" s="5" t="s">
        <v>46</v>
      </c>
    </row>
    <row r="19" spans="1:6" ht="15.75" customHeight="1" x14ac:dyDescent="0.25">
      <c r="A19" s="8" t="s">
        <v>78</v>
      </c>
      <c r="B19" s="8" t="s">
        <v>26</v>
      </c>
      <c r="C19" s="8" t="s">
        <v>79</v>
      </c>
      <c r="D19" s="8">
        <v>980</v>
      </c>
      <c r="E19" s="8">
        <v>10</v>
      </c>
      <c r="F19" s="8" t="s">
        <v>28</v>
      </c>
    </row>
    <row r="20" spans="1:6" ht="15.75" customHeight="1" x14ac:dyDescent="0.25">
      <c r="A20" s="5" t="s">
        <v>80</v>
      </c>
      <c r="B20" s="5" t="s">
        <v>81</v>
      </c>
      <c r="C20" s="5" t="s">
        <v>82</v>
      </c>
      <c r="D20" s="5">
        <v>150</v>
      </c>
      <c r="E20" s="5">
        <v>15</v>
      </c>
      <c r="F20" s="5" t="s">
        <v>32</v>
      </c>
    </row>
    <row r="21" spans="1:6" ht="15.75" customHeight="1" x14ac:dyDescent="0.25">
      <c r="A21" s="8" t="s">
        <v>83</v>
      </c>
      <c r="B21" s="8" t="s">
        <v>84</v>
      </c>
      <c r="C21" s="8" t="s">
        <v>85</v>
      </c>
      <c r="D21" s="8"/>
      <c r="E21" s="8">
        <v>10</v>
      </c>
      <c r="F21" s="8" t="s">
        <v>59</v>
      </c>
    </row>
    <row r="22" spans="1:6" ht="15.75" customHeight="1" x14ac:dyDescent="0.25">
      <c r="A22" s="5" t="s">
        <v>86</v>
      </c>
      <c r="B22" s="5" t="s">
        <v>87</v>
      </c>
      <c r="C22" s="5" t="s">
        <v>88</v>
      </c>
      <c r="D22" s="5">
        <v>700</v>
      </c>
      <c r="E22" s="5">
        <v>50</v>
      </c>
      <c r="F22" s="5" t="s">
        <v>28</v>
      </c>
    </row>
    <row r="23" spans="1:6" ht="15.75" customHeight="1" x14ac:dyDescent="0.25">
      <c r="A23" s="8" t="s">
        <v>89</v>
      </c>
      <c r="B23" s="8" t="s">
        <v>90</v>
      </c>
      <c r="C23" s="8" t="s">
        <v>91</v>
      </c>
      <c r="D23" s="8">
        <v>80</v>
      </c>
      <c r="E23" s="8">
        <v>20</v>
      </c>
      <c r="F23" s="8" t="s">
        <v>36</v>
      </c>
    </row>
    <row r="24" spans="1:6" ht="15.75" customHeight="1" x14ac:dyDescent="0.25">
      <c r="A24" s="5" t="s">
        <v>92</v>
      </c>
      <c r="B24" s="5" t="s">
        <v>93</v>
      </c>
      <c r="C24" s="5" t="s">
        <v>94</v>
      </c>
      <c r="D24" s="5">
        <v>150</v>
      </c>
      <c r="E24" s="5">
        <v>30</v>
      </c>
      <c r="F24" s="5"/>
    </row>
    <row r="25" spans="1:6" ht="15.75" customHeight="1" x14ac:dyDescent="0.25">
      <c r="A25" s="8" t="s">
        <v>72</v>
      </c>
      <c r="B25" s="8" t="s">
        <v>73</v>
      </c>
      <c r="C25" s="8" t="s">
        <v>74</v>
      </c>
      <c r="D25" s="8">
        <v>50</v>
      </c>
      <c r="E25" s="8">
        <v>35</v>
      </c>
      <c r="F25" s="8" t="s">
        <v>75</v>
      </c>
    </row>
    <row r="26" spans="1:6" ht="15.75" customHeight="1" x14ac:dyDescent="0.25">
      <c r="A26" s="5" t="s">
        <v>95</v>
      </c>
      <c r="B26" s="5" t="s">
        <v>96</v>
      </c>
      <c r="C26" s="5" t="s">
        <v>97</v>
      </c>
      <c r="D26" s="5">
        <v>800</v>
      </c>
      <c r="E26" s="5">
        <v>45</v>
      </c>
      <c r="F26" s="5" t="s">
        <v>28</v>
      </c>
    </row>
    <row r="27" spans="1:6" ht="15.75" customHeight="1" x14ac:dyDescent="0.25">
      <c r="A27" s="8" t="s">
        <v>98</v>
      </c>
      <c r="B27" s="8" t="s">
        <v>81</v>
      </c>
      <c r="C27" s="8" t="s">
        <v>99</v>
      </c>
      <c r="D27" s="8"/>
      <c r="E27" s="8">
        <v>25</v>
      </c>
      <c r="F27" s="8" t="s">
        <v>32</v>
      </c>
    </row>
    <row r="28" spans="1:6" ht="15.75" customHeight="1" x14ac:dyDescent="0.25">
      <c r="A28" s="5" t="s">
        <v>100</v>
      </c>
      <c r="B28" s="5" t="s">
        <v>51</v>
      </c>
      <c r="C28" s="5" t="s">
        <v>101</v>
      </c>
      <c r="D28" s="5">
        <v>400</v>
      </c>
      <c r="E28" s="5">
        <v>40</v>
      </c>
      <c r="F28" s="5" t="s">
        <v>36</v>
      </c>
    </row>
    <row r="29" spans="1:6" ht="15.75" customHeight="1" x14ac:dyDescent="0.25">
      <c r="A29" s="8" t="s">
        <v>69</v>
      </c>
      <c r="B29" s="8" t="s">
        <v>70</v>
      </c>
      <c r="C29" s="8" t="s">
        <v>71</v>
      </c>
      <c r="D29" s="8">
        <v>250</v>
      </c>
      <c r="E29" s="8">
        <v>20</v>
      </c>
      <c r="F29" s="8" t="s">
        <v>46</v>
      </c>
    </row>
    <row r="30" spans="1:6" ht="15.75" customHeight="1" x14ac:dyDescent="0.25">
      <c r="A30" s="5" t="s">
        <v>102</v>
      </c>
      <c r="B30" s="5" t="s">
        <v>103</v>
      </c>
      <c r="C30" s="5" t="s">
        <v>104</v>
      </c>
      <c r="D30" s="5">
        <v>60</v>
      </c>
      <c r="E30" s="5">
        <v>30</v>
      </c>
      <c r="F30" s="5" t="s">
        <v>32</v>
      </c>
    </row>
    <row r="31" spans="1:6" ht="15.75" customHeight="1" x14ac:dyDescent="0.25">
      <c r="A31" s="8" t="s">
        <v>105</v>
      </c>
      <c r="B31" s="8" t="s">
        <v>106</v>
      </c>
      <c r="C31" s="8" t="s">
        <v>107</v>
      </c>
      <c r="D31" s="8">
        <v>40</v>
      </c>
      <c r="E31" s="8">
        <v>10</v>
      </c>
      <c r="F31" s="8" t="s">
        <v>36</v>
      </c>
    </row>
    <row r="32" spans="1:6" ht="15.75" customHeight="1" x14ac:dyDescent="0.25">
      <c r="A32" s="5" t="s">
        <v>108</v>
      </c>
      <c r="B32" s="5" t="s">
        <v>93</v>
      </c>
      <c r="C32" s="5" t="s">
        <v>109</v>
      </c>
      <c r="D32" s="5">
        <v>130</v>
      </c>
      <c r="E32" s="5">
        <v>5</v>
      </c>
      <c r="F32" s="5" t="s">
        <v>28</v>
      </c>
    </row>
    <row r="33" spans="1:6" ht="15.75" customHeight="1" x14ac:dyDescent="0.25">
      <c r="A33" s="8" t="s">
        <v>110</v>
      </c>
      <c r="B33" s="8" t="s">
        <v>111</v>
      </c>
      <c r="C33" s="8" t="s">
        <v>112</v>
      </c>
      <c r="D33" s="8">
        <v>50</v>
      </c>
      <c r="E33" s="8">
        <v>50</v>
      </c>
      <c r="F33" s="8" t="s">
        <v>32</v>
      </c>
    </row>
    <row r="34" spans="1:6" ht="15.75" customHeight="1" x14ac:dyDescent="0.25">
      <c r="A34" s="5" t="s">
        <v>60</v>
      </c>
      <c r="B34" s="5" t="s">
        <v>61</v>
      </c>
      <c r="C34" s="5" t="s">
        <v>62</v>
      </c>
      <c r="D34" s="5">
        <v>950</v>
      </c>
      <c r="E34" s="5">
        <v>25</v>
      </c>
      <c r="F34" s="5" t="s">
        <v>28</v>
      </c>
    </row>
    <row r="35" spans="1:6" ht="15.75" customHeight="1" x14ac:dyDescent="0.25">
      <c r="A35" s="8" t="s">
        <v>113</v>
      </c>
      <c r="B35" s="8" t="s">
        <v>114</v>
      </c>
      <c r="C35" s="8" t="s">
        <v>115</v>
      </c>
      <c r="D35" s="8">
        <v>100</v>
      </c>
      <c r="E35" s="8">
        <v>20</v>
      </c>
      <c r="F35" s="8" t="s">
        <v>75</v>
      </c>
    </row>
    <row r="36" spans="1:6" ht="15.75" customHeight="1" x14ac:dyDescent="0.25"/>
    <row r="37" spans="1:6" ht="15.75" customHeight="1" x14ac:dyDescent="0.25"/>
    <row r="38" spans="1:6" ht="15.75" customHeight="1" x14ac:dyDescent="0.25"/>
    <row r="39" spans="1:6" ht="15.75" customHeight="1" x14ac:dyDescent="0.25"/>
    <row r="40" spans="1:6" ht="15.75" customHeight="1" x14ac:dyDescent="0.25"/>
    <row r="41" spans="1:6" ht="15.75" customHeight="1" x14ac:dyDescent="0.25"/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F7329-674B-47B1-8BAD-2009D3A8F21B}">
  <sheetPr>
    <outlinePr summaryBelow="0" summaryRight="0"/>
  </sheetPr>
  <dimension ref="A1:Y1000"/>
  <sheetViews>
    <sheetView tabSelected="1" topLeftCell="B18" zoomScale="89" workbookViewId="0">
      <selection activeCell="I38" sqref="I38"/>
    </sheetView>
  </sheetViews>
  <sheetFormatPr defaultColWidth="12.6640625" defaultRowHeight="15" customHeight="1" x14ac:dyDescent="0.25"/>
  <cols>
    <col min="1" max="1" width="22.33203125" customWidth="1"/>
    <col min="2" max="2" width="14.109375" customWidth="1"/>
    <col min="3" max="7" width="12.6640625" customWidth="1"/>
    <col min="8" max="8" width="18.21875" bestFit="1" customWidth="1"/>
    <col min="9" max="9" width="19.5546875" style="22" customWidth="1"/>
    <col min="10" max="10" width="12.6640625" style="23" customWidth="1"/>
    <col min="11" max="13" width="22.33203125" customWidth="1"/>
    <col min="14" max="14" width="12.6640625" style="20"/>
    <col min="17" max="17" width="25.109375" customWidth="1"/>
    <col min="18" max="18" width="27.77734375" customWidth="1"/>
  </cols>
  <sheetData>
    <row r="1" spans="1:25" ht="15.75" customHeight="1" x14ac:dyDescent="0.25">
      <c r="A1" s="9" t="s">
        <v>19</v>
      </c>
      <c r="B1" s="9" t="s">
        <v>20</v>
      </c>
      <c r="C1" s="9" t="s">
        <v>21</v>
      </c>
      <c r="D1" s="9" t="s">
        <v>22</v>
      </c>
      <c r="E1" s="9" t="s">
        <v>23</v>
      </c>
      <c r="F1" s="9" t="s">
        <v>24</v>
      </c>
      <c r="H1" s="21" t="s">
        <v>150</v>
      </c>
      <c r="I1" s="21" t="s">
        <v>147</v>
      </c>
      <c r="J1" s="24" t="s">
        <v>148</v>
      </c>
      <c r="K1" s="12" t="s">
        <v>20</v>
      </c>
      <c r="L1" s="12" t="s">
        <v>149</v>
      </c>
      <c r="M1" s="14" t="s">
        <v>149</v>
      </c>
      <c r="N1" s="17" t="s">
        <v>22</v>
      </c>
      <c r="O1" s="15" t="s">
        <v>24</v>
      </c>
      <c r="P1" s="16"/>
    </row>
    <row r="2" spans="1:25" ht="15.75" customHeight="1" x14ac:dyDescent="0.25">
      <c r="A2" s="10" t="s">
        <v>116</v>
      </c>
      <c r="B2" s="10" t="s">
        <v>26</v>
      </c>
      <c r="C2" s="10" t="s">
        <v>27</v>
      </c>
      <c r="D2" s="10">
        <v>1000</v>
      </c>
      <c r="E2" s="10">
        <v>30</v>
      </c>
      <c r="F2" s="10" t="s">
        <v>28</v>
      </c>
      <c r="H2" s="25">
        <f>DATE(2000,MONTH(MID(A2,4,3)&amp;"1"),LEFT(A2,2))</f>
        <v>36553</v>
      </c>
      <c r="I2" s="26" t="str">
        <f t="shared" ref="I2:I32" si="0">LEFT(A2,LEN(A2)-3)</f>
        <v>28-JAN-2000</v>
      </c>
      <c r="J2" s="27" t="str">
        <f t="shared" ref="J2:J32" si="1">RIGHT(A2,2)</f>
        <v>US</v>
      </c>
      <c r="K2" s="28" t="str">
        <f t="shared" ref="K2:K32" si="2">PROPER(B2:B32)</f>
        <v>Laptop</v>
      </c>
      <c r="L2" s="28" t="str">
        <f t="shared" ref="L2:L32" si="3">B2&amp;" "&amp;C2</f>
        <v>laptop Dell</v>
      </c>
      <c r="M2" s="29" t="str">
        <f>PROPER(L2)</f>
        <v>Laptop Dell</v>
      </c>
      <c r="N2" s="18">
        <v>1000</v>
      </c>
      <c r="O2" s="10" t="str">
        <f t="shared" ref="O2:O32" si="4">IF(ISBLANK(F2), "Unknown",F2)</f>
        <v>Electronics</v>
      </c>
      <c r="P2" s="13"/>
    </row>
    <row r="3" spans="1:25" ht="15.75" customHeight="1" x14ac:dyDescent="0.25">
      <c r="A3" s="10" t="s">
        <v>134</v>
      </c>
      <c r="B3" s="10" t="s">
        <v>81</v>
      </c>
      <c r="C3" s="10" t="s">
        <v>82</v>
      </c>
      <c r="D3" s="10">
        <v>150</v>
      </c>
      <c r="E3" s="10">
        <v>15</v>
      </c>
      <c r="F3" s="10" t="s">
        <v>32</v>
      </c>
      <c r="H3" s="25">
        <f t="shared" ref="H3:H32" si="5">DATE(2000,MONTH(MID(A3,4,3)&amp;"1"),LEFT(A3,2))</f>
        <v>36586</v>
      </c>
      <c r="I3" s="26" t="str">
        <f t="shared" si="0"/>
        <v>01-MAR-2000</v>
      </c>
      <c r="J3" s="27" t="str">
        <f t="shared" si="1"/>
        <v>UK</v>
      </c>
      <c r="K3" s="28" t="str">
        <f t="shared" si="2"/>
        <v>Sunglasses</v>
      </c>
      <c r="L3" s="28" t="str">
        <f t="shared" si="3"/>
        <v>Sunglasses Oakley</v>
      </c>
      <c r="M3" s="29" t="str">
        <f t="shared" ref="M3:M32" si="6">PROPER(L3)</f>
        <v>Sunglasses Oakley</v>
      </c>
      <c r="N3" s="18">
        <v>80</v>
      </c>
      <c r="O3" s="10" t="str">
        <f t="shared" si="4"/>
        <v>Fashion</v>
      </c>
      <c r="P3" s="13"/>
      <c r="S3" s="5"/>
      <c r="T3" s="5"/>
      <c r="U3" s="5"/>
      <c r="V3" s="5"/>
      <c r="W3" s="5"/>
      <c r="X3" s="5"/>
      <c r="Y3" s="5"/>
    </row>
    <row r="4" spans="1:25" ht="15.75" customHeight="1" x14ac:dyDescent="0.3">
      <c r="A4" s="11" t="s">
        <v>145</v>
      </c>
      <c r="B4" s="11" t="s">
        <v>111</v>
      </c>
      <c r="C4" s="11" t="s">
        <v>112</v>
      </c>
      <c r="D4" s="11">
        <v>50</v>
      </c>
      <c r="E4" s="11">
        <v>50</v>
      </c>
      <c r="F4" s="11" t="s">
        <v>32</v>
      </c>
      <c r="H4" s="25">
        <f t="shared" si="5"/>
        <v>36862</v>
      </c>
      <c r="I4" s="26" t="str">
        <f t="shared" si="0"/>
        <v>02-DEC-2000</v>
      </c>
      <c r="J4" s="27" t="str">
        <f t="shared" si="1"/>
        <v>CA</v>
      </c>
      <c r="K4" s="28" t="str">
        <f t="shared" si="2"/>
        <v>Jeans</v>
      </c>
      <c r="L4" s="28" t="str">
        <f t="shared" si="3"/>
        <v>Jeans Levi's</v>
      </c>
      <c r="M4" s="29" t="str">
        <f t="shared" si="6"/>
        <v>Jeans Levi'S</v>
      </c>
      <c r="N4" s="18">
        <v>130</v>
      </c>
      <c r="O4" s="10" t="str">
        <f t="shared" si="4"/>
        <v>Fashion</v>
      </c>
      <c r="P4" s="13"/>
      <c r="S4" s="3"/>
      <c r="T4" s="5"/>
      <c r="U4" s="5"/>
      <c r="V4" s="5"/>
      <c r="W4" s="5"/>
      <c r="X4" s="5"/>
      <c r="Y4" s="5"/>
    </row>
    <row r="5" spans="1:25" ht="15.75" customHeight="1" x14ac:dyDescent="0.3">
      <c r="A5" s="11" t="s">
        <v>140</v>
      </c>
      <c r="B5" s="11" t="s">
        <v>81</v>
      </c>
      <c r="C5" s="11" t="s">
        <v>99</v>
      </c>
      <c r="D5" s="11"/>
      <c r="E5" s="11">
        <v>25</v>
      </c>
      <c r="F5" s="11" t="s">
        <v>32</v>
      </c>
      <c r="H5" s="25">
        <f t="shared" si="5"/>
        <v>36680</v>
      </c>
      <c r="I5" s="26" t="str">
        <f t="shared" si="0"/>
        <v>03-JUN-2000</v>
      </c>
      <c r="J5" s="27" t="str">
        <f t="shared" si="1"/>
        <v>CA</v>
      </c>
      <c r="K5" s="28" t="str">
        <f t="shared" si="2"/>
        <v>Sunglasses</v>
      </c>
      <c r="L5" s="28" t="str">
        <f t="shared" si="3"/>
        <v>Sunglasses Ray-Ban</v>
      </c>
      <c r="M5" s="29" t="str">
        <f t="shared" si="6"/>
        <v>Sunglasses Ray-Ban</v>
      </c>
      <c r="N5" s="18">
        <v>900</v>
      </c>
      <c r="O5" s="10" t="str">
        <f t="shared" si="4"/>
        <v>Fashion</v>
      </c>
      <c r="P5" s="13"/>
      <c r="R5" s="5"/>
      <c r="S5" s="3"/>
      <c r="T5" s="5"/>
      <c r="U5" s="5"/>
      <c r="V5" s="5"/>
      <c r="W5" s="5"/>
      <c r="X5" s="5"/>
      <c r="Y5" s="5"/>
    </row>
    <row r="6" spans="1:25" ht="15.75" customHeight="1" x14ac:dyDescent="0.25">
      <c r="A6" s="10" t="s">
        <v>118</v>
      </c>
      <c r="B6" s="10" t="s">
        <v>34</v>
      </c>
      <c r="C6" s="10" t="s">
        <v>35</v>
      </c>
      <c r="D6" s="10">
        <v>130</v>
      </c>
      <c r="E6" s="10">
        <v>40</v>
      </c>
      <c r="F6" s="10" t="s">
        <v>36</v>
      </c>
      <c r="H6" s="25">
        <f t="shared" si="5"/>
        <v>36588</v>
      </c>
      <c r="I6" s="26" t="str">
        <f t="shared" si="0"/>
        <v>03-MAR-2000</v>
      </c>
      <c r="J6" s="27" t="str">
        <f t="shared" si="1"/>
        <v>US</v>
      </c>
      <c r="K6" s="28" t="str">
        <f t="shared" si="2"/>
        <v>Coffee Maker</v>
      </c>
      <c r="L6" s="28" t="str">
        <f t="shared" si="3"/>
        <v>Coffee Maker Keurig</v>
      </c>
      <c r="M6" s="29" t="str">
        <f t="shared" si="6"/>
        <v>Coffee Maker Keurig</v>
      </c>
      <c r="N6" s="18">
        <v>70</v>
      </c>
      <c r="O6" s="10" t="str">
        <f t="shared" si="4"/>
        <v>Kitchen</v>
      </c>
      <c r="P6" s="13"/>
    </row>
    <row r="7" spans="1:25" ht="15.75" customHeight="1" x14ac:dyDescent="0.25">
      <c r="A7" s="10" t="s">
        <v>124</v>
      </c>
      <c r="B7" s="10" t="s">
        <v>54</v>
      </c>
      <c r="C7" s="10" t="s">
        <v>55</v>
      </c>
      <c r="D7" s="10">
        <v>500</v>
      </c>
      <c r="E7" s="10">
        <v>50</v>
      </c>
      <c r="F7" s="10" t="s">
        <v>28</v>
      </c>
      <c r="H7" s="25">
        <f t="shared" si="5"/>
        <v>36774</v>
      </c>
      <c r="I7" s="26" t="str">
        <f t="shared" si="0"/>
        <v>05-SEP-2000</v>
      </c>
      <c r="J7" s="27" t="str">
        <f t="shared" si="1"/>
        <v>UK</v>
      </c>
      <c r="K7" s="28" t="str">
        <f t="shared" si="2"/>
        <v>Tablet</v>
      </c>
      <c r="L7" s="28" t="str">
        <f t="shared" si="3"/>
        <v>Tablet Apple</v>
      </c>
      <c r="M7" s="29" t="str">
        <f t="shared" si="6"/>
        <v>Tablet Apple</v>
      </c>
      <c r="N7" s="19">
        <v>130</v>
      </c>
      <c r="O7" s="10" t="str">
        <f t="shared" si="4"/>
        <v>Electronics</v>
      </c>
      <c r="P7" s="13"/>
    </row>
    <row r="8" spans="1:25" ht="15.75" customHeight="1" x14ac:dyDescent="0.25">
      <c r="A8" s="11" t="s">
        <v>121</v>
      </c>
      <c r="B8" s="11" t="s">
        <v>44</v>
      </c>
      <c r="C8" s="11" t="s">
        <v>45</v>
      </c>
      <c r="D8" s="11"/>
      <c r="E8" s="11">
        <v>45</v>
      </c>
      <c r="F8" s="11" t="s">
        <v>28</v>
      </c>
      <c r="H8" s="25">
        <f t="shared" si="5"/>
        <v>36684</v>
      </c>
      <c r="I8" s="26" t="str">
        <f t="shared" si="0"/>
        <v>07-JUN-2000</v>
      </c>
      <c r="J8" s="27" t="str">
        <f t="shared" si="1"/>
        <v>UK</v>
      </c>
      <c r="K8" s="28" t="str">
        <f t="shared" si="2"/>
        <v>Headphones</v>
      </c>
      <c r="L8" s="28" t="str">
        <f t="shared" si="3"/>
        <v>Headphones Sony</v>
      </c>
      <c r="M8" s="29" t="str">
        <f t="shared" si="6"/>
        <v>Headphones Sony</v>
      </c>
      <c r="N8" s="18">
        <v>30</v>
      </c>
      <c r="O8" s="10" t="str">
        <f t="shared" si="4"/>
        <v>Electronics</v>
      </c>
      <c r="P8" s="13"/>
    </row>
    <row r="9" spans="1:25" ht="15.75" customHeight="1" x14ac:dyDescent="0.25">
      <c r="A9" s="10" t="s">
        <v>142</v>
      </c>
      <c r="B9" s="10" t="s">
        <v>103</v>
      </c>
      <c r="C9" s="10" t="s">
        <v>104</v>
      </c>
      <c r="D9" s="10">
        <v>60</v>
      </c>
      <c r="E9" s="10">
        <v>30</v>
      </c>
      <c r="F9" s="10" t="s">
        <v>32</v>
      </c>
      <c r="H9" s="25">
        <f t="shared" si="5"/>
        <v>36592</v>
      </c>
      <c r="I9" s="26" t="str">
        <f t="shared" si="0"/>
        <v>07-MAR-2000</v>
      </c>
      <c r="J9" s="27" t="str">
        <f t="shared" si="1"/>
        <v>CA</v>
      </c>
      <c r="K9" s="28" t="str">
        <f t="shared" si="2"/>
        <v>Dress</v>
      </c>
      <c r="L9" s="28" t="str">
        <f t="shared" si="3"/>
        <v>Dress Zara</v>
      </c>
      <c r="M9" s="29" t="str">
        <f t="shared" si="6"/>
        <v>Dress Zara</v>
      </c>
      <c r="N9" s="18">
        <v>90</v>
      </c>
      <c r="O9" s="10" t="str">
        <f t="shared" si="4"/>
        <v>Fashion</v>
      </c>
      <c r="P9" s="13"/>
    </row>
    <row r="10" spans="1:25" ht="15.75" customHeight="1" x14ac:dyDescent="0.25">
      <c r="A10" s="10" t="s">
        <v>128</v>
      </c>
      <c r="B10" s="10" t="s">
        <v>34</v>
      </c>
      <c r="C10" s="10" t="s">
        <v>65</v>
      </c>
      <c r="D10" s="10">
        <v>120</v>
      </c>
      <c r="E10" s="10">
        <v>35</v>
      </c>
      <c r="F10" s="10"/>
      <c r="H10" s="25">
        <f t="shared" si="5"/>
        <v>36868</v>
      </c>
      <c r="I10" s="26" t="str">
        <f t="shared" si="0"/>
        <v>08-DEC-2000</v>
      </c>
      <c r="J10" s="27" t="str">
        <f t="shared" si="1"/>
        <v>DE</v>
      </c>
      <c r="K10" s="28" t="str">
        <f t="shared" si="2"/>
        <v>Coffee Maker</v>
      </c>
      <c r="L10" s="28" t="str">
        <f t="shared" si="3"/>
        <v>Coffee Maker Nespresso</v>
      </c>
      <c r="M10" s="29" t="str">
        <f t="shared" si="6"/>
        <v>Coffee Maker Nespresso</v>
      </c>
      <c r="N10" s="18">
        <v>500</v>
      </c>
      <c r="O10" s="10" t="str">
        <f t="shared" si="4"/>
        <v>Unknown</v>
      </c>
      <c r="P10" s="13"/>
    </row>
    <row r="11" spans="1:25" ht="15.75" customHeight="1" x14ac:dyDescent="0.25">
      <c r="A11" s="11" t="s">
        <v>137</v>
      </c>
      <c r="B11" s="11" t="s">
        <v>90</v>
      </c>
      <c r="C11" s="11" t="s">
        <v>91</v>
      </c>
      <c r="D11" s="11">
        <v>80</v>
      </c>
      <c r="E11" s="11">
        <v>20</v>
      </c>
      <c r="F11" s="11" t="s">
        <v>36</v>
      </c>
      <c r="H11" s="25">
        <f t="shared" si="5"/>
        <v>36534</v>
      </c>
      <c r="I11" s="26" t="str">
        <f t="shared" si="0"/>
        <v>09-JAN-2000</v>
      </c>
      <c r="J11" s="27" t="str">
        <f t="shared" si="1"/>
        <v>CA</v>
      </c>
      <c r="K11" s="28" t="str">
        <f t="shared" si="2"/>
        <v>Microwave</v>
      </c>
      <c r="L11" s="28" t="str">
        <f t="shared" si="3"/>
        <v>Microwave Panasonic</v>
      </c>
      <c r="M11" s="29" t="str">
        <f t="shared" si="6"/>
        <v>Microwave Panasonic</v>
      </c>
      <c r="N11" s="18">
        <v>130</v>
      </c>
      <c r="O11" s="10" t="str">
        <f t="shared" si="4"/>
        <v>Kitchen</v>
      </c>
      <c r="P11" s="13"/>
    </row>
    <row r="12" spans="1:25" ht="15.75" customHeight="1" x14ac:dyDescent="0.25">
      <c r="A12" s="11" t="s">
        <v>146</v>
      </c>
      <c r="B12" s="11" t="s">
        <v>114</v>
      </c>
      <c r="C12" s="11" t="s">
        <v>115</v>
      </c>
      <c r="D12" s="11">
        <v>100</v>
      </c>
      <c r="E12" s="11">
        <v>20</v>
      </c>
      <c r="F12" s="11" t="s">
        <v>75</v>
      </c>
      <c r="H12" s="25">
        <f t="shared" si="5"/>
        <v>36716</v>
      </c>
      <c r="I12" s="26" t="str">
        <f t="shared" si="0"/>
        <v>09-JUL-2000</v>
      </c>
      <c r="J12" s="27" t="str">
        <f t="shared" si="1"/>
        <v>FR</v>
      </c>
      <c r="K12" s="28" t="str">
        <f t="shared" si="2"/>
        <v>Watch</v>
      </c>
      <c r="L12" s="28" t="str">
        <f t="shared" si="3"/>
        <v>Watch Casio</v>
      </c>
      <c r="M12" s="29" t="str">
        <f t="shared" si="6"/>
        <v>Watch Casio</v>
      </c>
      <c r="N12" s="18">
        <v>950</v>
      </c>
      <c r="O12" s="10" t="str">
        <f t="shared" si="4"/>
        <v>Accessories</v>
      </c>
      <c r="P12" s="13"/>
    </row>
    <row r="13" spans="1:25" ht="15.75" customHeight="1" x14ac:dyDescent="0.25">
      <c r="A13" s="11" t="s">
        <v>119</v>
      </c>
      <c r="B13" s="11" t="s">
        <v>38</v>
      </c>
      <c r="C13" s="11" t="s">
        <v>39</v>
      </c>
      <c r="D13" s="11">
        <v>900</v>
      </c>
      <c r="E13" s="11">
        <v>25</v>
      </c>
      <c r="F13" s="11" t="s">
        <v>28</v>
      </c>
      <c r="H13" s="25">
        <f t="shared" si="5"/>
        <v>36627</v>
      </c>
      <c r="I13" s="26" t="str">
        <f t="shared" si="0"/>
        <v>11-APR-2000</v>
      </c>
      <c r="J13" s="27" t="str">
        <f t="shared" si="1"/>
        <v>US</v>
      </c>
      <c r="K13" s="28" t="str">
        <f t="shared" si="2"/>
        <v>Smartphone</v>
      </c>
      <c r="L13" s="28" t="str">
        <f t="shared" si="3"/>
        <v>smartphone Samsung</v>
      </c>
      <c r="M13" s="29" t="str">
        <f t="shared" si="6"/>
        <v>Smartphone Samsung</v>
      </c>
      <c r="N13" s="18">
        <v>90</v>
      </c>
      <c r="O13" s="10" t="str">
        <f t="shared" si="4"/>
        <v>Electronics</v>
      </c>
      <c r="P13" s="13"/>
    </row>
    <row r="14" spans="1:25" ht="15.75" customHeight="1" x14ac:dyDescent="0.25">
      <c r="A14" s="10" t="s">
        <v>141</v>
      </c>
      <c r="B14" s="10" t="s">
        <v>51</v>
      </c>
      <c r="C14" s="10" t="s">
        <v>101</v>
      </c>
      <c r="D14" s="10">
        <v>400</v>
      </c>
      <c r="E14" s="10">
        <v>40</v>
      </c>
      <c r="F14" s="10" t="s">
        <v>36</v>
      </c>
      <c r="H14" s="25">
        <f t="shared" si="5"/>
        <v>36718</v>
      </c>
      <c r="I14" s="26" t="str">
        <f t="shared" si="0"/>
        <v>11-JUL-2000</v>
      </c>
      <c r="J14" s="27" t="str">
        <f t="shared" si="1"/>
        <v>CA</v>
      </c>
      <c r="K14" s="28" t="str">
        <f t="shared" si="2"/>
        <v>Blender</v>
      </c>
      <c r="L14" s="28" t="str">
        <f t="shared" si="3"/>
        <v>Blender Vitamix</v>
      </c>
      <c r="M14" s="29" t="str">
        <f t="shared" si="6"/>
        <v>Blender Vitamix</v>
      </c>
      <c r="N14" s="18">
        <v>120</v>
      </c>
      <c r="O14" s="10" t="str">
        <f t="shared" si="4"/>
        <v>Kitchen</v>
      </c>
      <c r="P14" s="13"/>
    </row>
    <row r="15" spans="1:25" ht="15.75" customHeight="1" x14ac:dyDescent="0.25">
      <c r="A15" s="11" t="s">
        <v>143</v>
      </c>
      <c r="B15" s="11" t="s">
        <v>106</v>
      </c>
      <c r="C15" s="11" t="s">
        <v>107</v>
      </c>
      <c r="D15" s="11">
        <v>40</v>
      </c>
      <c r="E15" s="11">
        <v>10</v>
      </c>
      <c r="F15" s="11" t="s">
        <v>36</v>
      </c>
      <c r="H15" s="25">
        <f t="shared" si="5"/>
        <v>36629</v>
      </c>
      <c r="I15" s="26" t="str">
        <f t="shared" si="0"/>
        <v>13-APR-2000</v>
      </c>
      <c r="J15" s="27" t="str">
        <f t="shared" si="1"/>
        <v>CA</v>
      </c>
      <c r="K15" s="28" t="str">
        <f t="shared" si="2"/>
        <v>Toaster</v>
      </c>
      <c r="L15" s="28" t="str">
        <f t="shared" si="3"/>
        <v>Toaster Hamilton</v>
      </c>
      <c r="M15" s="29" t="str">
        <f t="shared" si="6"/>
        <v>Toaster Hamilton</v>
      </c>
      <c r="N15" s="18">
        <v>150</v>
      </c>
      <c r="O15" s="10" t="str">
        <f t="shared" si="4"/>
        <v>Kitchen</v>
      </c>
      <c r="P15" s="13"/>
    </row>
    <row r="16" spans="1:25" ht="15.75" customHeight="1" x14ac:dyDescent="0.25">
      <c r="A16" s="11" t="s">
        <v>135</v>
      </c>
      <c r="B16" s="11" t="s">
        <v>84</v>
      </c>
      <c r="C16" s="11" t="s">
        <v>85</v>
      </c>
      <c r="D16" s="11"/>
      <c r="E16" s="11">
        <v>10</v>
      </c>
      <c r="F16" s="11" t="s">
        <v>59</v>
      </c>
      <c r="H16" s="25">
        <f t="shared" si="5"/>
        <v>36752</v>
      </c>
      <c r="I16" s="26" t="str">
        <f t="shared" si="0"/>
        <v>14-AUG-2000</v>
      </c>
      <c r="J16" s="27" t="str">
        <f t="shared" si="1"/>
        <v>US</v>
      </c>
      <c r="K16" s="28" t="str">
        <f t="shared" si="2"/>
        <v>Camping Tent</v>
      </c>
      <c r="L16" s="28" t="str">
        <f t="shared" si="3"/>
        <v>Camping Tent Coleman</v>
      </c>
      <c r="M16" s="29" t="str">
        <f t="shared" si="6"/>
        <v>Camping Tent Coleman</v>
      </c>
      <c r="N16" s="18">
        <v>250</v>
      </c>
      <c r="O16" s="10" t="str">
        <f t="shared" si="4"/>
        <v>Outdoor</v>
      </c>
      <c r="P16" s="13"/>
    </row>
    <row r="17" spans="1:16" ht="15.75" customHeight="1" x14ac:dyDescent="0.25">
      <c r="A17" s="10" t="s">
        <v>136</v>
      </c>
      <c r="B17" s="10" t="s">
        <v>87</v>
      </c>
      <c r="C17" s="10" t="s">
        <v>88</v>
      </c>
      <c r="D17" s="10">
        <v>700</v>
      </c>
      <c r="E17" s="10">
        <v>50</v>
      </c>
      <c r="F17" s="10" t="s">
        <v>28</v>
      </c>
      <c r="H17" s="25">
        <f t="shared" si="5"/>
        <v>36660</v>
      </c>
      <c r="I17" s="26" t="str">
        <f t="shared" si="0"/>
        <v>14-MAY-2000</v>
      </c>
      <c r="J17" s="27" t="str">
        <f t="shared" si="1"/>
        <v>RU</v>
      </c>
      <c r="K17" s="28" t="str">
        <f t="shared" si="2"/>
        <v>Camera</v>
      </c>
      <c r="L17" s="28" t="str">
        <f t="shared" si="3"/>
        <v>Camera Nikon</v>
      </c>
      <c r="M17" s="29" t="str">
        <f t="shared" si="6"/>
        <v>Camera Nikon</v>
      </c>
      <c r="N17" s="18">
        <v>50</v>
      </c>
      <c r="O17" s="10" t="str">
        <f t="shared" si="4"/>
        <v>Electronics</v>
      </c>
      <c r="P17" s="13"/>
    </row>
    <row r="18" spans="1:16" ht="15.75" customHeight="1" x14ac:dyDescent="0.25">
      <c r="A18" s="11" t="s">
        <v>125</v>
      </c>
      <c r="B18" s="11" t="s">
        <v>57</v>
      </c>
      <c r="C18" s="11" t="s">
        <v>58</v>
      </c>
      <c r="D18" s="11">
        <v>130</v>
      </c>
      <c r="E18" s="11">
        <v>10</v>
      </c>
      <c r="F18" s="11" t="s">
        <v>59</v>
      </c>
      <c r="H18" s="25">
        <f t="shared" si="5"/>
        <v>36813</v>
      </c>
      <c r="I18" s="26" t="str">
        <f t="shared" si="0"/>
        <v>14-OCT-2000</v>
      </c>
      <c r="J18" s="27" t="str">
        <f t="shared" si="1"/>
        <v>UK</v>
      </c>
      <c r="K18" s="28" t="str">
        <f t="shared" si="2"/>
        <v>Hiking Boots</v>
      </c>
      <c r="L18" s="28" t="str">
        <f t="shared" si="3"/>
        <v>Hiking Boots Timberland</v>
      </c>
      <c r="M18" s="29" t="str">
        <f t="shared" si="6"/>
        <v>Hiking Boots Timberland</v>
      </c>
      <c r="N18" s="18">
        <v>160</v>
      </c>
      <c r="O18" s="10" t="str">
        <f t="shared" si="4"/>
        <v>Outdoor</v>
      </c>
      <c r="P18" s="13"/>
    </row>
    <row r="19" spans="1:16" ht="15.75" customHeight="1" x14ac:dyDescent="0.25">
      <c r="A19" s="11" t="s">
        <v>117</v>
      </c>
      <c r="B19" s="11" t="s">
        <v>30</v>
      </c>
      <c r="C19" s="11" t="s">
        <v>31</v>
      </c>
      <c r="D19" s="11">
        <v>80</v>
      </c>
      <c r="E19" s="11">
        <v>15</v>
      </c>
      <c r="F19" s="11" t="s">
        <v>32</v>
      </c>
      <c r="H19" s="25">
        <f t="shared" si="5"/>
        <v>36571</v>
      </c>
      <c r="I19" s="26" t="str">
        <f t="shared" si="0"/>
        <v>15-FEB-2000</v>
      </c>
      <c r="J19" s="27" t="str">
        <f t="shared" si="1"/>
        <v>US</v>
      </c>
      <c r="K19" s="28" t="str">
        <f t="shared" si="2"/>
        <v>Sneakers</v>
      </c>
      <c r="L19" s="28" t="str">
        <f t="shared" si="3"/>
        <v>Sneakers Nike</v>
      </c>
      <c r="M19" s="29" t="str">
        <f t="shared" si="6"/>
        <v>Sneakers Nike</v>
      </c>
      <c r="N19" s="18">
        <v>980</v>
      </c>
      <c r="O19" s="10" t="str">
        <f t="shared" si="4"/>
        <v>Fashion</v>
      </c>
      <c r="P19" s="13"/>
    </row>
    <row r="20" spans="1:16" ht="15.75" customHeight="1" x14ac:dyDescent="0.25">
      <c r="A20" s="10" t="s">
        <v>130</v>
      </c>
      <c r="B20" s="10" t="s">
        <v>70</v>
      </c>
      <c r="C20" s="10" t="s">
        <v>71</v>
      </c>
      <c r="D20" s="10">
        <v>250</v>
      </c>
      <c r="E20" s="10">
        <v>20</v>
      </c>
      <c r="F20" s="10" t="s">
        <v>28</v>
      </c>
      <c r="H20" s="25">
        <f t="shared" si="5"/>
        <v>36632</v>
      </c>
      <c r="I20" s="26" t="str">
        <f t="shared" si="0"/>
        <v>16-APR-2000</v>
      </c>
      <c r="J20" s="27" t="str">
        <f t="shared" si="1"/>
        <v>ES</v>
      </c>
      <c r="K20" s="28" t="str">
        <f t="shared" si="2"/>
        <v>Headphones</v>
      </c>
      <c r="L20" s="28" t="str">
        <f t="shared" si="3"/>
        <v>headphones Bose</v>
      </c>
      <c r="M20" s="29" t="str">
        <f t="shared" si="6"/>
        <v>Headphones Bose</v>
      </c>
      <c r="N20" s="18">
        <v>150</v>
      </c>
      <c r="O20" s="10" t="str">
        <f t="shared" si="4"/>
        <v>Electronics</v>
      </c>
      <c r="P20" s="13"/>
    </row>
    <row r="21" spans="1:16" ht="15.75" customHeight="1" x14ac:dyDescent="0.25">
      <c r="A21" s="10" t="s">
        <v>126</v>
      </c>
      <c r="B21" s="10" t="s">
        <v>61</v>
      </c>
      <c r="C21" s="10" t="s">
        <v>62</v>
      </c>
      <c r="D21" s="10">
        <v>950</v>
      </c>
      <c r="E21" s="10">
        <v>25</v>
      </c>
      <c r="F21" s="10" t="s">
        <v>28</v>
      </c>
      <c r="H21" s="25">
        <f t="shared" si="5"/>
        <v>36694</v>
      </c>
      <c r="I21" s="26" t="str">
        <f t="shared" si="0"/>
        <v>17-JUN-2000</v>
      </c>
      <c r="J21" s="27" t="str">
        <f t="shared" si="1"/>
        <v>IN</v>
      </c>
      <c r="K21" s="28" t="str">
        <f t="shared" si="2"/>
        <v>Laptop</v>
      </c>
      <c r="L21" s="28" t="str">
        <f t="shared" si="3"/>
        <v>Laptop HP</v>
      </c>
      <c r="M21" s="29" t="str">
        <f t="shared" si="6"/>
        <v>Laptop Hp</v>
      </c>
      <c r="N21" s="19">
        <v>130</v>
      </c>
      <c r="O21" s="10" t="str">
        <f t="shared" si="4"/>
        <v>Electronics</v>
      </c>
      <c r="P21" s="13"/>
    </row>
    <row r="22" spans="1:16" ht="15.75" customHeight="1" x14ac:dyDescent="0.25">
      <c r="A22" s="11" t="s">
        <v>129</v>
      </c>
      <c r="B22" s="11" t="s">
        <v>67</v>
      </c>
      <c r="C22" s="11" t="s">
        <v>68</v>
      </c>
      <c r="D22" s="11">
        <v>150</v>
      </c>
      <c r="E22" s="11">
        <v>15</v>
      </c>
      <c r="F22" s="11" t="s">
        <v>28</v>
      </c>
      <c r="H22" s="25">
        <f t="shared" si="5"/>
        <v>36574</v>
      </c>
      <c r="I22" s="26" t="str">
        <f t="shared" si="0"/>
        <v>18-FEB-2000</v>
      </c>
      <c r="J22" s="27" t="str">
        <f t="shared" si="1"/>
        <v>CA</v>
      </c>
      <c r="K22" s="28" t="str">
        <f t="shared" si="2"/>
        <v>Smartwatch</v>
      </c>
      <c r="L22" s="28" t="str">
        <f t="shared" si="3"/>
        <v>Smartwatch Fitbit</v>
      </c>
      <c r="M22" s="29" t="str">
        <f t="shared" si="6"/>
        <v>Smartwatch Fitbit</v>
      </c>
      <c r="N22" s="18">
        <v>700</v>
      </c>
      <c r="O22" s="10" t="str">
        <f t="shared" si="4"/>
        <v>Electronics</v>
      </c>
      <c r="P22" s="13"/>
    </row>
    <row r="23" spans="1:16" ht="15.75" customHeight="1" x14ac:dyDescent="0.25">
      <c r="A23" s="10" t="s">
        <v>138</v>
      </c>
      <c r="B23" s="10" t="s">
        <v>93</v>
      </c>
      <c r="C23" s="10" t="s">
        <v>94</v>
      </c>
      <c r="D23" s="10">
        <v>150</v>
      </c>
      <c r="E23" s="10">
        <v>30</v>
      </c>
      <c r="F23" s="10"/>
      <c r="H23" s="25">
        <f t="shared" si="5"/>
        <v>36726</v>
      </c>
      <c r="I23" s="26" t="str">
        <f t="shared" si="0"/>
        <v>19-JUL-2000</v>
      </c>
      <c r="J23" s="27" t="str">
        <f t="shared" si="1"/>
        <v>BR</v>
      </c>
      <c r="K23" s="28" t="str">
        <f t="shared" si="2"/>
        <v>Fitness Tracker</v>
      </c>
      <c r="L23" s="28" t="str">
        <f t="shared" si="3"/>
        <v>Fitness Tracker Xiaomi</v>
      </c>
      <c r="M23" s="29" t="str">
        <f t="shared" si="6"/>
        <v>Fitness Tracker Xiaomi</v>
      </c>
      <c r="N23" s="18">
        <v>80</v>
      </c>
      <c r="O23" s="10" t="str">
        <f t="shared" si="4"/>
        <v>Unknown</v>
      </c>
      <c r="P23" s="13"/>
    </row>
    <row r="24" spans="1:16" ht="15.75" customHeight="1" x14ac:dyDescent="0.25">
      <c r="A24" s="10" t="s">
        <v>122</v>
      </c>
      <c r="B24" s="10" t="s">
        <v>48</v>
      </c>
      <c r="C24" s="10" t="s">
        <v>49</v>
      </c>
      <c r="D24" s="10">
        <v>30</v>
      </c>
      <c r="E24" s="10">
        <v>5</v>
      </c>
      <c r="F24" s="10" t="s">
        <v>32</v>
      </c>
      <c r="H24" s="25">
        <f t="shared" si="5"/>
        <v>36726</v>
      </c>
      <c r="I24" s="26" t="str">
        <f t="shared" si="0"/>
        <v>19-JUL-2000</v>
      </c>
      <c r="J24" s="27" t="str">
        <f t="shared" si="1"/>
        <v>UK</v>
      </c>
      <c r="K24" s="28" t="str">
        <f t="shared" si="2"/>
        <v>T-Shirt</v>
      </c>
      <c r="L24" s="28" t="str">
        <f t="shared" si="3"/>
        <v>T-shirt Adidas</v>
      </c>
      <c r="M24" s="29" t="str">
        <f t="shared" si="6"/>
        <v>T-Shirt Adidas</v>
      </c>
      <c r="N24" s="18">
        <v>150</v>
      </c>
      <c r="O24" s="10" t="str">
        <f t="shared" si="4"/>
        <v>Fashion</v>
      </c>
      <c r="P24" s="13"/>
    </row>
    <row r="25" spans="1:16" ht="15.75" customHeight="1" x14ac:dyDescent="0.25">
      <c r="A25" s="10" t="s">
        <v>132</v>
      </c>
      <c r="B25" s="10" t="s">
        <v>67</v>
      </c>
      <c r="C25" s="10" t="s">
        <v>77</v>
      </c>
      <c r="D25" s="10">
        <v>160</v>
      </c>
      <c r="E25" s="10">
        <v>15</v>
      </c>
      <c r="F25" s="10" t="s">
        <v>28</v>
      </c>
      <c r="H25" s="25">
        <f t="shared" si="5"/>
        <v>36758</v>
      </c>
      <c r="I25" s="26" t="str">
        <f t="shared" si="0"/>
        <v>20-AUG-2000</v>
      </c>
      <c r="J25" s="27" t="str">
        <f t="shared" si="1"/>
        <v>CN</v>
      </c>
      <c r="K25" s="28" t="str">
        <f t="shared" si="2"/>
        <v>Smartwatch</v>
      </c>
      <c r="L25" s="28" t="str">
        <f t="shared" si="3"/>
        <v>Smartwatch Huawei</v>
      </c>
      <c r="M25" s="29" t="str">
        <f t="shared" si="6"/>
        <v>Smartwatch Huawei</v>
      </c>
      <c r="N25" s="18">
        <v>800</v>
      </c>
      <c r="O25" s="10" t="str">
        <f t="shared" si="4"/>
        <v>Electronics</v>
      </c>
      <c r="P25" s="13"/>
    </row>
    <row r="26" spans="1:16" ht="15.75" customHeight="1" x14ac:dyDescent="0.25">
      <c r="A26" s="11" t="s">
        <v>131</v>
      </c>
      <c r="B26" s="11" t="s">
        <v>73</v>
      </c>
      <c r="C26" s="11" t="s">
        <v>74</v>
      </c>
      <c r="D26" s="11">
        <v>50</v>
      </c>
      <c r="E26" s="11">
        <v>35</v>
      </c>
      <c r="F26" s="11" t="s">
        <v>75</v>
      </c>
      <c r="H26" s="25">
        <f t="shared" si="5"/>
        <v>36759</v>
      </c>
      <c r="I26" s="26" t="str">
        <f t="shared" si="0"/>
        <v>21-AUG-2000</v>
      </c>
      <c r="J26" s="27" t="str">
        <f t="shared" si="1"/>
        <v>CA</v>
      </c>
      <c r="K26" s="28" t="str">
        <f t="shared" si="2"/>
        <v>Laptop Bag</v>
      </c>
      <c r="L26" s="28" t="str">
        <f t="shared" si="3"/>
        <v>Laptop Bag Samsonite</v>
      </c>
      <c r="M26" s="29" t="str">
        <f t="shared" si="6"/>
        <v>Laptop Bag Samsonite</v>
      </c>
      <c r="N26" s="19">
        <v>130</v>
      </c>
      <c r="O26" s="10" t="str">
        <f t="shared" si="4"/>
        <v>Accessories</v>
      </c>
      <c r="P26" s="13"/>
    </row>
    <row r="27" spans="1:16" ht="15.75" customHeight="1" x14ac:dyDescent="0.25">
      <c r="A27" s="10" t="s">
        <v>120</v>
      </c>
      <c r="B27" s="10" t="s">
        <v>41</v>
      </c>
      <c r="C27" s="10" t="s">
        <v>42</v>
      </c>
      <c r="D27" s="10">
        <v>70</v>
      </c>
      <c r="E27" s="10">
        <v>20</v>
      </c>
      <c r="F27" s="10"/>
      <c r="H27" s="25">
        <f t="shared" si="5"/>
        <v>36668</v>
      </c>
      <c r="I27" s="26" t="str">
        <f t="shared" si="0"/>
        <v>22-MAY-2000</v>
      </c>
      <c r="J27" s="27" t="str">
        <f t="shared" si="1"/>
        <v>US</v>
      </c>
      <c r="K27" s="28" t="str">
        <f t="shared" si="2"/>
        <v>Backpack</v>
      </c>
      <c r="L27" s="28" t="str">
        <f t="shared" si="3"/>
        <v>Backpack North Face</v>
      </c>
      <c r="M27" s="29" t="str">
        <f t="shared" si="6"/>
        <v>Backpack North Face</v>
      </c>
      <c r="N27" s="18">
        <v>400</v>
      </c>
      <c r="O27" s="10" t="str">
        <f t="shared" si="4"/>
        <v>Unknown</v>
      </c>
      <c r="P27" s="13"/>
    </row>
    <row r="28" spans="1:16" ht="15.75" customHeight="1" x14ac:dyDescent="0.25">
      <c r="A28" s="11" t="s">
        <v>123</v>
      </c>
      <c r="B28" s="11" t="s">
        <v>51</v>
      </c>
      <c r="C28" s="11" t="s">
        <v>52</v>
      </c>
      <c r="D28" s="11">
        <v>90</v>
      </c>
      <c r="E28" s="11">
        <v>35</v>
      </c>
      <c r="F28" s="11" t="s">
        <v>36</v>
      </c>
      <c r="H28" s="25">
        <f t="shared" si="5"/>
        <v>36761</v>
      </c>
      <c r="I28" s="26" t="str">
        <f t="shared" si="0"/>
        <v>23-AUG-2000</v>
      </c>
      <c r="J28" s="27" t="str">
        <f t="shared" si="1"/>
        <v>UK</v>
      </c>
      <c r="K28" s="28" t="str">
        <f t="shared" si="2"/>
        <v>Blender</v>
      </c>
      <c r="L28" s="28" t="str">
        <f t="shared" si="3"/>
        <v>Blender Ninja</v>
      </c>
      <c r="M28" s="29" t="str">
        <f t="shared" si="6"/>
        <v>Blender Ninja</v>
      </c>
      <c r="N28" s="18">
        <v>60</v>
      </c>
      <c r="O28" s="10" t="str">
        <f t="shared" si="4"/>
        <v>Kitchen</v>
      </c>
      <c r="P28" s="13"/>
    </row>
    <row r="29" spans="1:16" ht="15.75" customHeight="1" x14ac:dyDescent="0.25">
      <c r="A29" s="10" t="s">
        <v>144</v>
      </c>
      <c r="B29" s="10" t="s">
        <v>93</v>
      </c>
      <c r="C29" s="10" t="s">
        <v>109</v>
      </c>
      <c r="D29" s="10">
        <v>130</v>
      </c>
      <c r="E29" s="10">
        <v>5</v>
      </c>
      <c r="F29" s="10" t="s">
        <v>28</v>
      </c>
      <c r="H29" s="25">
        <f t="shared" si="5"/>
        <v>36670</v>
      </c>
      <c r="I29" s="26" t="str">
        <f t="shared" si="0"/>
        <v>24-MAY-2000</v>
      </c>
      <c r="J29" s="27" t="str">
        <f t="shared" si="1"/>
        <v>CA</v>
      </c>
      <c r="K29" s="28" t="str">
        <f t="shared" si="2"/>
        <v>Fitness Tracker</v>
      </c>
      <c r="L29" s="28" t="str">
        <f t="shared" si="3"/>
        <v>Fitness Tracker Garmin</v>
      </c>
      <c r="M29" s="29" t="str">
        <f t="shared" si="6"/>
        <v>Fitness Tracker Garmin</v>
      </c>
      <c r="N29" s="18">
        <v>40</v>
      </c>
      <c r="O29" s="10" t="str">
        <f t="shared" si="4"/>
        <v>Electronics</v>
      </c>
      <c r="P29" s="13"/>
    </row>
    <row r="30" spans="1:16" ht="15.75" customHeight="1" x14ac:dyDescent="0.25">
      <c r="A30" s="11" t="s">
        <v>127</v>
      </c>
      <c r="B30" s="11" t="s">
        <v>30</v>
      </c>
      <c r="C30" s="11" t="s">
        <v>49</v>
      </c>
      <c r="D30" s="11">
        <v>90</v>
      </c>
      <c r="E30" s="11">
        <v>40</v>
      </c>
      <c r="F30" s="11"/>
      <c r="H30" s="25">
        <f t="shared" si="5"/>
        <v>36855</v>
      </c>
      <c r="I30" s="26" t="str">
        <f t="shared" si="0"/>
        <v>25-NOV-2000</v>
      </c>
      <c r="J30" s="27" t="str">
        <f t="shared" si="1"/>
        <v>AU</v>
      </c>
      <c r="K30" s="28" t="str">
        <f t="shared" si="2"/>
        <v>Sneakers</v>
      </c>
      <c r="L30" s="28" t="str">
        <f t="shared" si="3"/>
        <v>Sneakers Adidas</v>
      </c>
      <c r="M30" s="29" t="str">
        <f t="shared" si="6"/>
        <v>Sneakers Adidas</v>
      </c>
      <c r="N30" s="18">
        <v>130</v>
      </c>
      <c r="O30" s="10" t="str">
        <f t="shared" si="4"/>
        <v>Unknown</v>
      </c>
      <c r="P30" s="13"/>
    </row>
    <row r="31" spans="1:16" ht="15.75" customHeight="1" x14ac:dyDescent="0.25">
      <c r="A31" s="11" t="s">
        <v>133</v>
      </c>
      <c r="B31" s="11" t="s">
        <v>26</v>
      </c>
      <c r="C31" s="11" t="s">
        <v>79</v>
      </c>
      <c r="D31" s="11">
        <v>980</v>
      </c>
      <c r="E31" s="11">
        <v>10</v>
      </c>
      <c r="F31" s="11" t="s">
        <v>28</v>
      </c>
      <c r="H31" s="25">
        <f t="shared" si="5"/>
        <v>36552</v>
      </c>
      <c r="I31" s="26" t="str">
        <f t="shared" si="0"/>
        <v>27-JAN-2000</v>
      </c>
      <c r="J31" s="27" t="str">
        <f t="shared" si="1"/>
        <v>IT</v>
      </c>
      <c r="K31" s="28" t="str">
        <f t="shared" si="2"/>
        <v>Laptop</v>
      </c>
      <c r="L31" s="28" t="str">
        <f t="shared" si="3"/>
        <v>laptop Asus</v>
      </c>
      <c r="M31" s="29" t="str">
        <f t="shared" si="6"/>
        <v>Laptop Asus</v>
      </c>
      <c r="N31" s="18">
        <v>50</v>
      </c>
      <c r="O31" s="10" t="str">
        <f t="shared" si="4"/>
        <v>Electronics</v>
      </c>
      <c r="P31" s="13"/>
    </row>
    <row r="32" spans="1:16" ht="15.75" customHeight="1" x14ac:dyDescent="0.25">
      <c r="A32" s="10" t="s">
        <v>139</v>
      </c>
      <c r="B32" s="10" t="s">
        <v>96</v>
      </c>
      <c r="C32" s="10" t="s">
        <v>97</v>
      </c>
      <c r="D32" s="10">
        <v>800</v>
      </c>
      <c r="E32" s="10">
        <v>45</v>
      </c>
      <c r="F32" s="10" t="s">
        <v>28</v>
      </c>
      <c r="H32" s="25">
        <f t="shared" si="5"/>
        <v>36798</v>
      </c>
      <c r="I32" s="26" t="str">
        <f t="shared" si="0"/>
        <v>29-SEP-2000</v>
      </c>
      <c r="J32" s="27" t="str">
        <f t="shared" si="1"/>
        <v>CA</v>
      </c>
      <c r="K32" s="28" t="str">
        <f t="shared" si="2"/>
        <v>Smartphone</v>
      </c>
      <c r="L32" s="28" t="str">
        <f t="shared" si="3"/>
        <v>Smartphone Google</v>
      </c>
      <c r="M32" s="29" t="str">
        <f t="shared" si="6"/>
        <v>Smartphone Google</v>
      </c>
      <c r="N32" s="18">
        <v>100</v>
      </c>
      <c r="O32" s="10" t="str">
        <f t="shared" si="4"/>
        <v>Electronics</v>
      </c>
      <c r="P32" s="13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sortState xmlns:xlrd2="http://schemas.microsoft.com/office/spreadsheetml/2017/richdata2" ref="A3:F1000">
    <sortCondition ref="A2:A1000"/>
  </sortState>
  <conditionalFormatting sqref="A1:A33 A1002:A1048576">
    <cfRule type="duplicateValues" dxfId="4" priority="5"/>
    <cfRule type="duplicateValues" dxfId="3" priority="6"/>
  </conditionalFormatting>
  <conditionalFormatting sqref="N1:N1048576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{1F20C5CA-BDC3-479B-BD53-51D78FBEBC85}</x14:id>
        </ext>
      </extLst>
    </cfRule>
  </conditionalFormatting>
  <conditionalFormatting sqref="O1:O1048576">
    <cfRule type="containsText" dxfId="2" priority="1" operator="containsText" text="Unknown">
      <formula>NOT(ISERROR(SEARCH("Unknown",O1)))</formula>
    </cfRule>
    <cfRule type="containsText" dxfId="1" priority="2" operator="containsText" text="Uknown">
      <formula>NOT(ISERROR(SEARCH("Uknown",O1)))</formula>
    </cfRule>
    <cfRule type="containsText" dxfId="0" priority="3" operator="containsText" text="Electronics">
      <formula>NOT(ISERROR(SEARCH("Electronics",O1)))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F20C5CA-BDC3-479B-BD53-51D78FBEBC8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N1:N1048576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Assignment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Lebin Das</cp:lastModifiedBy>
  <dcterms:modified xsi:type="dcterms:W3CDTF">2026-09-23T06:32:00Z</dcterms:modified>
</cp:coreProperties>
</file>